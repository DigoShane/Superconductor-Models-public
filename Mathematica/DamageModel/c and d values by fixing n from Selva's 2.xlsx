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ahaja2\Desktop\PhD_1(2024)\Year 1\Superconductivity\Data\"/>
    </mc:Choice>
  </mc:AlternateContent>
  <xr:revisionPtr revIDLastSave="0" documentId="13_ncr:1_{EA01CC76-0CF6-4538-9F87-2A883AAEBCF5}" xr6:coauthVersionLast="47" xr6:coauthVersionMax="47" xr10:uidLastSave="{00000000-0000-0000-0000-000000000000}"/>
  <bookViews>
    <workbookView xWindow="3120" yWindow="3120" windowWidth="21600" windowHeight="10980" activeTab="1" xr2:uid="{13025274-2335-4E38-8917-2DD9F6F153AE}"/>
  </bookViews>
  <sheets>
    <sheet name="40K" sheetId="1" r:id="rId1"/>
    <sheet name="50K" sheetId="2" r:id="rId2"/>
    <sheet name="40K_d40" sheetId="3" r:id="rId3"/>
    <sheet name="50K_d50" sheetId="4" r:id="rId4"/>
    <sheet name="Temperature dependanc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0" i="1" l="1"/>
  <c r="O15" i="2"/>
  <c r="L15" i="2"/>
  <c r="J10" i="1"/>
  <c r="M15" i="2"/>
  <c r="K10" i="1"/>
</calcChain>
</file>

<file path=xl/sharedStrings.xml><?xml version="1.0" encoding="utf-8"?>
<sst xmlns="http://schemas.openxmlformats.org/spreadsheetml/2006/main" count="101" uniqueCount="23">
  <si>
    <t>T</t>
  </si>
  <si>
    <t>H</t>
  </si>
  <si>
    <t>c</t>
  </si>
  <si>
    <t>d</t>
  </si>
  <si>
    <t>40K</t>
  </si>
  <si>
    <t>10T</t>
  </si>
  <si>
    <t>11T</t>
  </si>
  <si>
    <t>12T</t>
  </si>
  <si>
    <t>13T</t>
  </si>
  <si>
    <t>14T</t>
  </si>
  <si>
    <t>15T</t>
  </si>
  <si>
    <t>50K</t>
  </si>
  <si>
    <t>5T</t>
  </si>
  <si>
    <t>6T</t>
  </si>
  <si>
    <t>7T</t>
  </si>
  <si>
    <t>8T</t>
  </si>
  <si>
    <t>9T</t>
  </si>
  <si>
    <t>Only c</t>
  </si>
  <si>
    <t>Only d</t>
  </si>
  <si>
    <t>c when both c and d</t>
  </si>
  <si>
    <t>d when both c and d</t>
  </si>
  <si>
    <t>30K</t>
  </si>
  <si>
    <t>SCS4050AP-2013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</si>
</sst>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'40K'!$J$3</c:f>
              <c:strCache>
                <c:ptCount val="1"/>
                <c:pt idx="0">
                  <c:v>Only 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'40K'!$I$4:$I$9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</c:numCache>
            </c:numRef>
          </c:cat>
          <c:val>
            <c:numRef>
              <c:f>'40K'!$J$4:$J$9</c:f>
              <c:numCache>
                <c:formatCode>General</c:formatCode>
                <c:ptCount val="6"/>
                <c:pt idx="0">
                  <c:v>6.2998599999999998</c:v>
                </c:pt>
                <c:pt idx="1">
                  <c:v>6.2795500000000004</c:v>
                </c:pt>
                <c:pt idx="2">
                  <c:v>6.1972699999999996</c:v>
                </c:pt>
                <c:pt idx="3">
                  <c:v>6.1268500000000001</c:v>
                </c:pt>
                <c:pt idx="4">
                  <c:v>5.7519499999999999</c:v>
                </c:pt>
                <c:pt idx="5">
                  <c:v>5.6261000000000001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3E-419C-9ED2-4DFF29CB5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2921120"/>
        <c:axId val="1142905728"/>
      </c:lineChart>
      <c:catAx>
        <c:axId val="114292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905728"/>
        <c:crosses val="autoZero"/>
        <c:auto val="1"/>
        <c:lblAlgn val="ctr"/>
        <c:lblOffset val="100"/>
        <c:noMultiLvlLbl val="0"/>
      </c:catAx>
      <c:valAx>
        <c:axId val="114290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92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4420384951881"/>
          <c:y val="0.13930555555555557"/>
          <c:w val="0.87122462817147861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'40K'!$K$3</c:f>
              <c:strCache>
                <c:ptCount val="1"/>
                <c:pt idx="0">
                  <c:v>Only 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'40K'!$I$4:$I$9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</c:numCache>
            </c:numRef>
          </c:cat>
          <c:val>
            <c:numRef>
              <c:f>'40K'!$K$4:$K$9</c:f>
              <c:numCache>
                <c:formatCode>General</c:formatCode>
                <c:ptCount val="6"/>
                <c:pt idx="0">
                  <c:v>1.0316799999999999</c:v>
                </c:pt>
                <c:pt idx="1">
                  <c:v>1.03294</c:v>
                </c:pt>
                <c:pt idx="2">
                  <c:v>1.0342499999999999</c:v>
                </c:pt>
                <c:pt idx="3">
                  <c:v>1.0363599999999999</c:v>
                </c:pt>
                <c:pt idx="4">
                  <c:v>1.05077</c:v>
                </c:pt>
                <c:pt idx="5">
                  <c:v>1.0523400000000001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B9-4274-82EC-51F8A20F7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2905312"/>
        <c:axId val="1142921952"/>
      </c:lineChart>
      <c:catAx>
        <c:axId val="114290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921952"/>
        <c:crosses val="autoZero"/>
        <c:auto val="1"/>
        <c:lblAlgn val="ctr"/>
        <c:lblOffset val="100"/>
        <c:noMultiLvlLbl val="0"/>
      </c:catAx>
      <c:valAx>
        <c:axId val="114292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90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'40K'!$L$3</c:f>
              <c:strCache>
                <c:ptCount val="1"/>
                <c:pt idx="0">
                  <c:v>c when both c and 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'40K'!$I$4:$I$9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</c:numCache>
            </c:numRef>
          </c:cat>
          <c:val>
            <c:numRef>
              <c:f>'40K'!$L$4:$L$9</c:f>
              <c:numCache>
                <c:formatCode>General</c:formatCode>
                <c:ptCount val="6"/>
                <c:pt idx="0">
                  <c:v>11.7623</c:v>
                </c:pt>
                <c:pt idx="1">
                  <c:v>12.032500000000001</c:v>
                </c:pt>
                <c:pt idx="2">
                  <c:v>11.226900000000001</c:v>
                </c:pt>
                <c:pt idx="3">
                  <c:v>11.026999999999999</c:v>
                </c:pt>
                <c:pt idx="4">
                  <c:v>11.5251</c:v>
                </c:pt>
                <c:pt idx="5">
                  <c:v>10.0745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59-4769-A726-19291E55F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2908640"/>
        <c:axId val="1142925280"/>
      </c:lineChart>
      <c:catAx>
        <c:axId val="114290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925280"/>
        <c:crosses val="autoZero"/>
        <c:auto val="1"/>
        <c:lblAlgn val="ctr"/>
        <c:lblOffset val="100"/>
        <c:noMultiLvlLbl val="0"/>
      </c:catAx>
      <c:valAx>
        <c:axId val="114292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90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'40K'!$M$3</c:f>
              <c:strCache>
                <c:ptCount val="1"/>
                <c:pt idx="0">
                  <c:v>d when both c and 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'40K'!$I$4:$I$9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</c:numCache>
            </c:numRef>
          </c:cat>
          <c:val>
            <c:numRef>
              <c:f>'40K'!$M$4:$M$9</c:f>
              <c:numCache>
                <c:formatCode>General</c:formatCode>
                <c:ptCount val="6"/>
                <c:pt idx="0">
                  <c:v>1.0966199999999999</c:v>
                </c:pt>
                <c:pt idx="1">
                  <c:v>1.10057</c:v>
                </c:pt>
                <c:pt idx="2">
                  <c:v>1.0920399999999999</c:v>
                </c:pt>
                <c:pt idx="3">
                  <c:v>1.09108</c:v>
                </c:pt>
                <c:pt idx="4">
                  <c:v>1.10781</c:v>
                </c:pt>
                <c:pt idx="5">
                  <c:v>1.0906899999999999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EE-4CF5-9741-876EE2FF0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2884928"/>
        <c:axId val="1142890752"/>
      </c:lineChart>
      <c:catAx>
        <c:axId val="114288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890752"/>
        <c:crosses val="autoZero"/>
        <c:auto val="1"/>
        <c:lblAlgn val="ctr"/>
        <c:lblOffset val="100"/>
        <c:noMultiLvlLbl val="0"/>
      </c:catAx>
      <c:valAx>
        <c:axId val="11428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88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'50K'!$L$3</c:f>
              <c:strCache>
                <c:ptCount val="1"/>
                <c:pt idx="0">
                  <c:v>Only 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'50K'!$K$4:$K$14</c:f>
              <c:numCache>
                <c:formatCode>General</c:formatCode>
                <c:ptCount val="11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</c:numCache>
            </c:numRef>
          </c:cat>
          <c:val>
            <c:numRef>
              <c:f>'50K'!$L$4:$L$14</c:f>
              <c:numCache>
                <c:formatCode>General</c:formatCode>
                <c:ptCount val="11"/>
                <c:pt idx="0">
                  <c:v>4.2218299999999997</c:v>
                </c:pt>
                <c:pt idx="1">
                  <c:v>4.3717800000000002</c:v>
                </c:pt>
                <c:pt idx="2">
                  <c:v>4.2996499999999997</c:v>
                </c:pt>
                <c:pt idx="3">
                  <c:v>4.20303</c:v>
                </c:pt>
                <c:pt idx="4">
                  <c:v>3.92109</c:v>
                </c:pt>
                <c:pt idx="5">
                  <c:v>3.9754700000000001</c:v>
                </c:pt>
                <c:pt idx="6">
                  <c:v>3.87052</c:v>
                </c:pt>
                <c:pt idx="7">
                  <c:v>3.5033799999999999</c:v>
                </c:pt>
                <c:pt idx="8">
                  <c:v>3.4954999999999998</c:v>
                </c:pt>
                <c:pt idx="9">
                  <c:v>3.2913700000000001</c:v>
                </c:pt>
                <c:pt idx="10">
                  <c:v>2.8360699999999999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17-48EA-A827-3E229D715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8971472"/>
        <c:axId val="1298971888"/>
      </c:lineChart>
      <c:catAx>
        <c:axId val="129897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71888"/>
        <c:crosses val="autoZero"/>
        <c:auto val="1"/>
        <c:lblAlgn val="ctr"/>
        <c:lblOffset val="100"/>
        <c:noMultiLvlLbl val="0"/>
      </c:catAx>
      <c:valAx>
        <c:axId val="129897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7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'50K'!$M$3</c:f>
              <c:strCache>
                <c:ptCount val="1"/>
                <c:pt idx="0">
                  <c:v>Only 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'50K'!$K$4:$K$14</c:f>
              <c:numCache>
                <c:formatCode>General</c:formatCode>
                <c:ptCount val="11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</c:numCache>
            </c:numRef>
          </c:cat>
          <c:val>
            <c:numRef>
              <c:f>'50K'!$M$4:$M$14</c:f>
              <c:numCache>
                <c:formatCode>General</c:formatCode>
                <c:ptCount val="11"/>
                <c:pt idx="0">
                  <c:v>1.1020700000000001</c:v>
                </c:pt>
                <c:pt idx="1">
                  <c:v>1.0985400000000001</c:v>
                </c:pt>
                <c:pt idx="2">
                  <c:v>1.1013900000000001</c:v>
                </c:pt>
                <c:pt idx="3">
                  <c:v>1.1054999999999999</c:v>
                </c:pt>
                <c:pt idx="4">
                  <c:v>1.115</c:v>
                </c:pt>
                <c:pt idx="5">
                  <c:v>1.11416</c:v>
                </c:pt>
                <c:pt idx="6">
                  <c:v>1.11714</c:v>
                </c:pt>
                <c:pt idx="7">
                  <c:v>1.12937</c:v>
                </c:pt>
                <c:pt idx="8">
                  <c:v>1.13002</c:v>
                </c:pt>
                <c:pt idx="9">
                  <c:v>1.13703</c:v>
                </c:pt>
                <c:pt idx="10">
                  <c:v>1.1522399999999999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46-4A80-BE4F-1573F7B0D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1306352"/>
        <c:axId val="911307600"/>
      </c:lineChart>
      <c:catAx>
        <c:axId val="91130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307600"/>
        <c:crosses val="autoZero"/>
        <c:auto val="1"/>
        <c:lblAlgn val="ctr"/>
        <c:lblOffset val="100"/>
        <c:noMultiLvlLbl val="0"/>
      </c:catAx>
      <c:valAx>
        <c:axId val="91130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306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'50K'!$N$3</c:f>
              <c:strCache>
                <c:ptCount val="1"/>
                <c:pt idx="0">
                  <c:v>c when both c and 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'50K'!$K$4:$K$14</c:f>
              <c:numCache>
                <c:formatCode>General</c:formatCode>
                <c:ptCount val="11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</c:numCache>
            </c:numRef>
          </c:cat>
          <c:val>
            <c:numRef>
              <c:f>'50K'!$N$4:$N$14</c:f>
              <c:numCache>
                <c:formatCode>General</c:formatCode>
                <c:ptCount val="11"/>
                <c:pt idx="0">
                  <c:v>9.4909599999999994</c:v>
                </c:pt>
                <c:pt idx="1">
                  <c:v>10.490500000000001</c:v>
                </c:pt>
                <c:pt idx="2">
                  <c:v>10.608599999999999</c:v>
                </c:pt>
                <c:pt idx="3">
                  <c:v>10.9285</c:v>
                </c:pt>
                <c:pt idx="4">
                  <c:v>10.492000000000001</c:v>
                </c:pt>
                <c:pt idx="5">
                  <c:v>11.1228</c:v>
                </c:pt>
                <c:pt idx="6">
                  <c:v>10.6487</c:v>
                </c:pt>
                <c:pt idx="7">
                  <c:v>9.9546899999999994</c:v>
                </c:pt>
                <c:pt idx="8">
                  <c:v>10.153700000000001</c:v>
                </c:pt>
                <c:pt idx="9">
                  <c:v>9.8583599999999993</c:v>
                </c:pt>
                <c:pt idx="10">
                  <c:v>8.9156399999999998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F1-4A7A-8874-EF883E4A5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0803152"/>
        <c:axId val="1310803984"/>
      </c:lineChart>
      <c:catAx>
        <c:axId val="131080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803984"/>
        <c:crosses val="autoZero"/>
        <c:auto val="1"/>
        <c:lblAlgn val="ctr"/>
        <c:lblOffset val="100"/>
        <c:noMultiLvlLbl val="0"/>
      </c:catAx>
      <c:valAx>
        <c:axId val="131080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80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'50K'!$O$3</c:f>
              <c:strCache>
                <c:ptCount val="1"/>
                <c:pt idx="0">
                  <c:v>d when both c and 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'50K'!$K$4:$K$14</c:f>
              <c:numCache>
                <c:formatCode>General</c:formatCode>
                <c:ptCount val="11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</c:numCache>
            </c:numRef>
          </c:cat>
          <c:val>
            <c:numRef>
              <c:f>'50K'!$O$4:$O$14</c:f>
              <c:numCache>
                <c:formatCode>General</c:formatCode>
                <c:ptCount val="11"/>
                <c:pt idx="0">
                  <c:v>1.1248100000000001</c:v>
                </c:pt>
                <c:pt idx="1">
                  <c:v>1.13337</c:v>
                </c:pt>
                <c:pt idx="2">
                  <c:v>1.1368799999999999</c:v>
                </c:pt>
                <c:pt idx="3">
                  <c:v>1.1432599999999999</c:v>
                </c:pt>
                <c:pt idx="4">
                  <c:v>1.14666</c:v>
                </c:pt>
                <c:pt idx="5">
                  <c:v>1.1517500000000001</c:v>
                </c:pt>
                <c:pt idx="6">
                  <c:v>1.1498600000000001</c:v>
                </c:pt>
                <c:pt idx="7">
                  <c:v>1.15333</c:v>
                </c:pt>
                <c:pt idx="8">
                  <c:v>1.15578</c:v>
                </c:pt>
                <c:pt idx="9">
                  <c:v>1.1589100000000001</c:v>
                </c:pt>
                <c:pt idx="10">
                  <c:v>1.16309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D5-48BC-BADA-3E0A76248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8927760"/>
        <c:axId val="1298928176"/>
      </c:lineChart>
      <c:catAx>
        <c:axId val="129892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28176"/>
        <c:crosses val="autoZero"/>
        <c:auto val="1"/>
        <c:lblAlgn val="ctr"/>
        <c:lblOffset val="100"/>
        <c:noMultiLvlLbl val="0"/>
      </c:catAx>
      <c:valAx>
        <c:axId val="129892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92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'40K_d40'!$B$1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'40K_d40'!$A$2:$A$7</c:f>
              <c:numCache>
                <c:formatCode>General</c:formatCode>
                <c:ptCount val="6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</c:numCache>
            </c:numRef>
          </c:cat>
          <c:val>
            <c:numRef>
              <c:f>'40K_d40'!$B$2:$B$7</c:f>
              <c:numCache>
                <c:formatCode>General</c:formatCode>
                <c:ptCount val="6"/>
                <c:pt idx="0">
                  <c:v>8.6481600000000007</c:v>
                </c:pt>
                <c:pt idx="1">
                  <c:v>8.6258999999999997</c:v>
                </c:pt>
                <c:pt idx="2">
                  <c:v>8.5000199999999992</c:v>
                </c:pt>
                <c:pt idx="3">
                  <c:v>8.4016599999999997</c:v>
                </c:pt>
                <c:pt idx="4">
                  <c:v>7.9096099999999998</c:v>
                </c:pt>
                <c:pt idx="5">
                  <c:v>7.71455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8B-4B88-B968-26702071A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2893248"/>
        <c:axId val="1142884096"/>
      </c:lineChart>
      <c:catAx>
        <c:axId val="1142893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884096"/>
        <c:crosses val="autoZero"/>
        <c:auto val="1"/>
        <c:lblAlgn val="ctr"/>
        <c:lblOffset val="100"/>
        <c:noMultiLvlLbl val="0"/>
      </c:catAx>
      <c:valAx>
        <c:axId val="114288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89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'50K_d50'!$B$1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'50K_d50'!$A$2:$A$12</c:f>
              <c:numCache>
                <c:formatCode>General</c:formatCode>
                <c:ptCount val="11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</c:numCache>
            </c:numRef>
          </c:cat>
          <c:val>
            <c:numRef>
              <c:f>'50K_d50'!$B$2:$B$12</c:f>
              <c:numCache>
                <c:formatCode>General</c:formatCode>
                <c:ptCount val="11"/>
                <c:pt idx="0">
                  <c:v>9.0963999999999992</c:v>
                </c:pt>
                <c:pt idx="1">
                  <c:v>9.4676100000000005</c:v>
                </c:pt>
                <c:pt idx="2">
                  <c:v>9.3348099999999992</c:v>
                </c:pt>
                <c:pt idx="3">
                  <c:v>9.1693099999999994</c:v>
                </c:pt>
                <c:pt idx="4">
                  <c:v>8.5894899999999996</c:v>
                </c:pt>
                <c:pt idx="5">
                  <c:v>8.7401</c:v>
                </c:pt>
                <c:pt idx="6">
                  <c:v>8.5033399999999997</c:v>
                </c:pt>
                <c:pt idx="7">
                  <c:v>7.7530099999999997</c:v>
                </c:pt>
                <c:pt idx="8">
                  <c:v>7.7522599999999997</c:v>
                </c:pt>
                <c:pt idx="9">
                  <c:v>7.3473600000000001</c:v>
                </c:pt>
                <c:pt idx="10">
                  <c:v>6.4388899999999998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37-4DB2-96BF-0553F2A17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7434432"/>
        <c:axId val="867433600"/>
      </c:lineChart>
      <c:catAx>
        <c:axId val="86743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433600"/>
        <c:crosses val="autoZero"/>
        <c:auto val="1"/>
        <c:lblAlgn val="ctr"/>
        <c:lblOffset val="100"/>
        <c:noMultiLvlLbl val="0"/>
      </c:catAx>
      <c:valAx>
        <c:axId val="86743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43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'Temperature dependance'!$B$3</c:f>
              <c:strCache>
                <c:ptCount val="1"/>
                <c:pt idx="0">
                  <c:v>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'Temperature dependance'!$A$4:$A$6</c:f>
              <c:strCache>
                <c:ptCount val="3"/>
                <c:pt idx="0">
                  <c:v>30K</c:v>
                </c:pt>
                <c:pt idx="1">
                  <c:v>40K</c:v>
                </c:pt>
                <c:pt idx="2">
                  <c:v>50K</c:v>
                </c:pt>
              </c:strCache>
            </c:strRef>
          </c:cat>
          <c:val>
            <c:numRef>
              <c:f>'Temperature dependance'!$B$4:$B$6</c:f>
              <c:numCache>
                <c:formatCode>General</c:formatCode>
                <c:ptCount val="3"/>
                <c:pt idx="0">
                  <c:v>1.10625</c:v>
                </c:pt>
                <c:pt idx="1">
                  <c:v>1.0397233333333333</c:v>
                </c:pt>
                <c:pt idx="2">
                  <c:v>1.1184054545454545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99-4121-A408-B1E657688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9764448"/>
        <c:axId val="1019763616"/>
      </c:lineChart>
      <c:catAx>
        <c:axId val="101976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763616"/>
        <c:crosses val="autoZero"/>
        <c:auto val="1"/>
        <c:lblAlgn val="ctr"/>
        <c:lblOffset val="100"/>
        <c:noMultiLvlLbl val="0"/>
      </c:catAx>
      <c:valAx>
        <c:axId val="101976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76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'Temperature dependance'!$B$21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'Temperature dependance'!$A$22:$A$24</c:f>
              <c:strCache>
                <c:ptCount val="3"/>
                <c:pt idx="0">
                  <c:v>30K</c:v>
                </c:pt>
                <c:pt idx="1">
                  <c:v>40K</c:v>
                </c:pt>
                <c:pt idx="2">
                  <c:v>50K</c:v>
                </c:pt>
              </c:strCache>
            </c:strRef>
          </c:cat>
          <c:val>
            <c:numRef>
              <c:f>'Temperature dependance'!$B$22:$B$24</c:f>
              <c:numCache>
                <c:formatCode>General</c:formatCode>
                <c:ptCount val="3"/>
                <c:pt idx="0">
                  <c:v>11.5984</c:v>
                </c:pt>
                <c:pt idx="1">
                  <c:v>6.0469299999999997</c:v>
                </c:pt>
                <c:pt idx="2">
                  <c:v>3.8172445454545452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A6-4403-8704-EDA59B657F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6215904"/>
        <c:axId val="1156215072"/>
      </c:lineChart>
      <c:catAx>
        <c:axId val="115621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15072"/>
        <c:crosses val="autoZero"/>
        <c:auto val="1"/>
        <c:lblAlgn val="ctr"/>
        <c:lblOffset val="100"/>
        <c:noMultiLvlLbl val="0"/>
      </c:catAx>
      <c:valAx>
        <c:axId val="115621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15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12</xdr:row>
      <xdr:rowOff>71437</xdr:rowOff>
    </xdr:from>
    <xdr:to>
      <xdr:col>12</xdr:col>
      <xdr:colOff>371475</xdr:colOff>
      <xdr:row>26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B9A426-9605-4F14-B904-4A3375C64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552450</xdr:colOff>
      <xdr:row>12</xdr:row>
      <xdr:rowOff>80962</xdr:rowOff>
    </xdr:from>
    <xdr:to>
      <xdr:col>21</xdr:col>
      <xdr:colOff>247650</xdr:colOff>
      <xdr:row>26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FCFA78-3C9C-45A6-A86C-EEB5B9AC1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133350</xdr:colOff>
      <xdr:row>29</xdr:row>
      <xdr:rowOff>128587</xdr:rowOff>
    </xdr:from>
    <xdr:to>
      <xdr:col>12</xdr:col>
      <xdr:colOff>333375</xdr:colOff>
      <xdr:row>44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6546B8-3226-4BB0-9509-C9E38C2CF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561975</xdr:colOff>
      <xdr:row>29</xdr:row>
      <xdr:rowOff>100012</xdr:rowOff>
    </xdr:from>
    <xdr:to>
      <xdr:col>21</xdr:col>
      <xdr:colOff>257175</xdr:colOff>
      <xdr:row>43</xdr:row>
      <xdr:rowOff>176212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7A79FF-9D00-41F8-8281-5361F4636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476250</xdr:colOff>
      <xdr:row>17</xdr:row>
      <xdr:rowOff>128587</xdr:rowOff>
    </xdr:from>
    <xdr:to>
      <xdr:col>13</xdr:col>
      <xdr:colOff>171450</xdr:colOff>
      <xdr:row>32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5150EA-B557-493C-96F1-320C6B9F8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1038225</xdr:colOff>
      <xdr:row>17</xdr:row>
      <xdr:rowOff>100012</xdr:rowOff>
    </xdr:from>
    <xdr:to>
      <xdr:col>19</xdr:col>
      <xdr:colOff>561975</xdr:colOff>
      <xdr:row>31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3B6050-FEE5-49E3-8893-38FF4DE8B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371475</xdr:colOff>
      <xdr:row>35</xdr:row>
      <xdr:rowOff>14287</xdr:rowOff>
    </xdr:from>
    <xdr:to>
      <xdr:col>13</xdr:col>
      <xdr:colOff>66675</xdr:colOff>
      <xdr:row>49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2818AD-418C-4712-8DA4-D287A5C0D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1000125</xdr:colOff>
      <xdr:row>34</xdr:row>
      <xdr:rowOff>61912</xdr:rowOff>
    </xdr:from>
    <xdr:to>
      <xdr:col>19</xdr:col>
      <xdr:colOff>523875</xdr:colOff>
      <xdr:row>48</xdr:row>
      <xdr:rowOff>138112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8BC6CC4-DDA0-4561-BA95-781C46DD9F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128587</xdr:rowOff>
    </xdr:from>
    <xdr:to>
      <xdr:col>18</xdr:col>
      <xdr:colOff>228600</xdr:colOff>
      <xdr:row>26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85F374-0B0B-49B0-9432-D3EDC9B64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128587</xdr:rowOff>
    </xdr:from>
    <xdr:to>
      <xdr:col>18</xdr:col>
      <xdr:colOff>228600</xdr:colOff>
      <xdr:row>26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BD8B8E-F3A2-4601-8DD9-71F32E55E6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2</xdr:row>
      <xdr:rowOff>147637</xdr:rowOff>
    </xdr:from>
    <xdr:to>
      <xdr:col>11</xdr:col>
      <xdr:colOff>361950</xdr:colOff>
      <xdr:row>17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89A4A8-9320-44AC-A47C-7EE987843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533400</xdr:colOff>
      <xdr:row>19</xdr:row>
      <xdr:rowOff>147637</xdr:rowOff>
    </xdr:from>
    <xdr:to>
      <xdr:col>16</xdr:col>
      <xdr:colOff>228600</xdr:colOff>
      <xdr:row>34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C2CB95-41AB-4D72-8A2E-6613832521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39744-9D9F-43DC-9B30-42351BB1FCF2}">
  <dimension ref="A1:M24"/>
  <sheetViews>
    <sheetView workbookViewId="0">
      <pane ySplit="1" topLeftCell="A2" activePane="bottomLeft" state="frozen"/>
      <selection pane="bottomLeft" activeCell="M11" sqref="M11"/>
    </sheetView>
  </sheetViews>
  <sheetFormatPr defaultRowHeight="15" x14ac:dyDescent="0.25"/>
  <cols>
    <col min="12" max="12" width="19.85546875" customWidth="1"/>
    <col min="13" max="13" width="2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13" x14ac:dyDescent="0.25">
      <c r="A2" t="s">
        <v>4</v>
      </c>
      <c r="B2" t="s">
        <v>5</v>
      </c>
      <c r="C2" s="2">
        <v>6.2998599999999998</v>
      </c>
    </row>
    <row r="3" spans="1:13" x14ac:dyDescent="0.25">
      <c r="B3" t="s">
        <v>5</v>
      </c>
      <c r="D3" s="3">
        <v>1.0316799999999999</v>
      </c>
      <c r="I3" t="s">
        <v>1</v>
      </c>
      <c r="J3" t="s">
        <v>17</v>
      </c>
      <c r="K3" t="s">
        <v>18</v>
      </c>
      <c r="L3" t="s">
        <v>19</v>
      </c>
      <c r="M3" t="s">
        <v>20</v>
      </c>
    </row>
    <row r="4" spans="1:13" x14ac:dyDescent="0.25">
      <c r="B4" t="s">
        <v>5</v>
      </c>
      <c r="C4">
        <v>11.7623</v>
      </c>
      <c r="D4">
        <v>1.0966199999999999</v>
      </c>
      <c r="I4">
        <v>10</v>
      </c>
      <c r="J4" s="2">
        <v>6.2998599999999998</v>
      </c>
      <c r="K4" s="3">
        <v>1.0316799999999999</v>
      </c>
      <c r="L4">
        <v>11.7623</v>
      </c>
      <c r="M4">
        <v>1.0966199999999999</v>
      </c>
    </row>
    <row r="5" spans="1:13" x14ac:dyDescent="0.25">
      <c r="I5">
        <v>11</v>
      </c>
      <c r="J5" s="2">
        <v>6.2795500000000004</v>
      </c>
      <c r="K5" s="3">
        <v>1.03294</v>
      </c>
      <c r="L5">
        <v>12.032500000000001</v>
      </c>
      <c r="M5">
        <v>1.10057</v>
      </c>
    </row>
    <row r="6" spans="1:13" x14ac:dyDescent="0.25">
      <c r="A6" t="s">
        <v>4</v>
      </c>
      <c r="B6" t="s">
        <v>6</v>
      </c>
      <c r="C6" s="2">
        <v>6.2795500000000004</v>
      </c>
      <c r="I6">
        <v>12</v>
      </c>
      <c r="J6" s="2">
        <v>6.1972699999999996</v>
      </c>
      <c r="K6" s="3">
        <v>1.0342499999999999</v>
      </c>
      <c r="L6">
        <v>11.226900000000001</v>
      </c>
      <c r="M6">
        <v>1.0920399999999999</v>
      </c>
    </row>
    <row r="7" spans="1:13" x14ac:dyDescent="0.25">
      <c r="B7" t="s">
        <v>6</v>
      </c>
      <c r="D7" s="3">
        <v>1.03294</v>
      </c>
      <c r="I7">
        <v>13</v>
      </c>
      <c r="J7" s="2">
        <v>6.1268500000000001</v>
      </c>
      <c r="K7" s="3">
        <v>1.0363599999999999</v>
      </c>
      <c r="L7">
        <v>11.026999999999999</v>
      </c>
      <c r="M7">
        <v>1.09108</v>
      </c>
    </row>
    <row r="8" spans="1:13" x14ac:dyDescent="0.25">
      <c r="B8" t="s">
        <v>6</v>
      </c>
      <c r="C8">
        <v>12.032500000000001</v>
      </c>
      <c r="D8">
        <v>1.10057</v>
      </c>
      <c r="I8">
        <v>14</v>
      </c>
      <c r="J8" s="2">
        <v>5.7519499999999999</v>
      </c>
      <c r="K8" s="3">
        <v>1.05077</v>
      </c>
      <c r="L8">
        <v>11.5251</v>
      </c>
      <c r="M8">
        <v>1.10781</v>
      </c>
    </row>
    <row r="9" spans="1:13" x14ac:dyDescent="0.25">
      <c r="I9">
        <v>15</v>
      </c>
      <c r="J9" s="2">
        <v>5.6261000000000001</v>
      </c>
      <c r="K9" s="3">
        <v>1.0523400000000001</v>
      </c>
      <c r="L9">
        <v>10.0745</v>
      </c>
      <c r="M9">
        <v>1.0906899999999999</v>
      </c>
    </row>
    <row r="10" spans="1:13" x14ac:dyDescent="0.25">
      <c r="A10" t="s">
        <v>4</v>
      </c>
      <c r="B10" t="s">
        <v>7</v>
      </c>
      <c r="C10" s="2">
        <v>6.1972699999999996</v>
      </c>
      <c r="J10">
        <f>AVERAGE(J4:J9)</f>
        <v>6.0469299999999997</v>
      </c>
      <c r="K10">
        <f>AVERAGE(K4:K9)</f>
        <v>1.0397233333333333</v>
      </c>
      <c r="M10">
        <f>AVERAGE(M4:M9)</f>
        <v>1.0964683333333332</v>
      </c>
    </row>
    <row r="11" spans="1:13" x14ac:dyDescent="0.25">
      <c r="B11" t="s">
        <v>7</v>
      </c>
      <c r="D11" s="3">
        <v>1.0342499999999999</v>
      </c>
    </row>
    <row r="12" spans="1:13" x14ac:dyDescent="0.25">
      <c r="B12" t="s">
        <v>7</v>
      </c>
      <c r="C12">
        <v>11.226900000000001</v>
      </c>
      <c r="D12">
        <v>1.0920399999999999</v>
      </c>
    </row>
    <row r="14" spans="1:13" x14ac:dyDescent="0.25">
      <c r="A14" t="s">
        <v>4</v>
      </c>
      <c r="B14" t="s">
        <v>8</v>
      </c>
      <c r="C14" s="2">
        <v>6.1268500000000001</v>
      </c>
    </row>
    <row r="15" spans="1:13" x14ac:dyDescent="0.25">
      <c r="B15" t="s">
        <v>8</v>
      </c>
      <c r="D15" s="3">
        <v>1.0363599999999999</v>
      </c>
    </row>
    <row r="16" spans="1:13" x14ac:dyDescent="0.25">
      <c r="B16" t="s">
        <v>8</v>
      </c>
      <c r="C16">
        <v>11.026999999999999</v>
      </c>
      <c r="D16">
        <v>1.09108</v>
      </c>
    </row>
    <row r="18" spans="1:4" x14ac:dyDescent="0.25">
      <c r="A18" t="s">
        <v>4</v>
      </c>
      <c r="B18" t="s">
        <v>9</v>
      </c>
      <c r="C18" s="2">
        <v>5.7519499999999999</v>
      </c>
    </row>
    <row r="19" spans="1:4" x14ac:dyDescent="0.25">
      <c r="B19" t="s">
        <v>9</v>
      </c>
      <c r="D19" s="3">
        <v>1.05077</v>
      </c>
    </row>
    <row r="20" spans="1:4" x14ac:dyDescent="0.25">
      <c r="B20" t="s">
        <v>9</v>
      </c>
      <c r="C20">
        <v>11.5251</v>
      </c>
      <c r="D20">
        <v>1.10781</v>
      </c>
    </row>
    <row r="22" spans="1:4" x14ac:dyDescent="0.25">
      <c r="A22" t="s">
        <v>4</v>
      </c>
      <c r="B22" t="s">
        <v>10</v>
      </c>
      <c r="C22" s="2">
        <v>5.6261000000000001</v>
      </c>
    </row>
    <row r="23" spans="1:4" x14ac:dyDescent="0.25">
      <c r="B23" t="s">
        <v>10</v>
      </c>
      <c r="D23" s="3">
        <v>1.0523400000000001</v>
      </c>
    </row>
    <row r="24" spans="1:4" x14ac:dyDescent="0.25">
      <c r="B24" t="s">
        <v>10</v>
      </c>
      <c r="C24">
        <v>10.0745</v>
      </c>
      <c r="D24">
        <v>1.0906899999999999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4DB75-9A22-4FF2-96F9-317B67B22002}">
  <dimension ref="A1:O44"/>
  <sheetViews>
    <sheetView tabSelected="1" topLeftCell="L1" zoomScaleNormal="100" workbookViewId="0">
      <pane ySplit="1" topLeftCell="A2" activePane="bottomLeft" state="frozen"/>
      <selection pane="bottomLeft" activeCell="O14" sqref="O14"/>
    </sheetView>
  </sheetViews>
  <sheetFormatPr defaultRowHeight="15" x14ac:dyDescent="0.25"/>
  <cols>
    <col min="14" max="15" width="19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15" x14ac:dyDescent="0.25">
      <c r="A2" t="s">
        <v>11</v>
      </c>
      <c r="B2" t="s">
        <v>12</v>
      </c>
      <c r="C2" s="2">
        <v>4.2218299999999997</v>
      </c>
    </row>
    <row r="3" spans="1:15" x14ac:dyDescent="0.25">
      <c r="B3" t="s">
        <v>12</v>
      </c>
      <c r="D3" s="3">
        <v>1.1020700000000001</v>
      </c>
      <c r="K3" t="s">
        <v>1</v>
      </c>
      <c r="L3" t="s">
        <v>17</v>
      </c>
      <c r="M3" t="s">
        <v>18</v>
      </c>
      <c r="N3" t="s">
        <v>19</v>
      </c>
      <c r="O3" t="s">
        <v>20</v>
      </c>
    </row>
    <row r="4" spans="1:15" x14ac:dyDescent="0.25">
      <c r="B4" t="s">
        <v>12</v>
      </c>
      <c r="C4">
        <v>9.4909599999999994</v>
      </c>
      <c r="D4">
        <v>1.1248100000000001</v>
      </c>
      <c r="K4">
        <v>5</v>
      </c>
      <c r="L4" s="2">
        <v>4.2218299999999997</v>
      </c>
      <c r="M4" s="3">
        <v>1.1020700000000001</v>
      </c>
      <c r="N4">
        <v>9.4909599999999994</v>
      </c>
      <c r="O4">
        <v>1.1248100000000001</v>
      </c>
    </row>
    <row r="5" spans="1:15" x14ac:dyDescent="0.25">
      <c r="K5">
        <v>6</v>
      </c>
      <c r="L5" s="2">
        <v>4.3717800000000002</v>
      </c>
      <c r="M5" s="3">
        <v>1.0985400000000001</v>
      </c>
      <c r="N5">
        <v>10.490500000000001</v>
      </c>
      <c r="O5">
        <v>1.13337</v>
      </c>
    </row>
    <row r="6" spans="1:15" x14ac:dyDescent="0.25">
      <c r="A6" t="s">
        <v>11</v>
      </c>
      <c r="B6" t="s">
        <v>13</v>
      </c>
      <c r="C6" s="2">
        <v>4.3717800000000002</v>
      </c>
      <c r="K6">
        <v>7</v>
      </c>
      <c r="L6" s="2">
        <v>4.2996499999999997</v>
      </c>
      <c r="M6" s="3">
        <v>1.1013900000000001</v>
      </c>
      <c r="N6">
        <v>10.608599999999999</v>
      </c>
      <c r="O6">
        <v>1.1368799999999999</v>
      </c>
    </row>
    <row r="7" spans="1:15" x14ac:dyDescent="0.25">
      <c r="B7" t="s">
        <v>13</v>
      </c>
      <c r="D7" s="3">
        <v>1.0985400000000001</v>
      </c>
      <c r="K7">
        <v>8</v>
      </c>
      <c r="L7" s="2">
        <v>4.20303</v>
      </c>
      <c r="M7" s="3">
        <v>1.1054999999999999</v>
      </c>
      <c r="N7">
        <v>10.9285</v>
      </c>
      <c r="O7">
        <v>1.1432599999999999</v>
      </c>
    </row>
    <row r="8" spans="1:15" x14ac:dyDescent="0.25">
      <c r="B8" t="s">
        <v>13</v>
      </c>
      <c r="C8">
        <v>10.490500000000001</v>
      </c>
      <c r="D8">
        <v>1.13337</v>
      </c>
      <c r="K8">
        <v>9</v>
      </c>
      <c r="L8" s="2">
        <v>3.92109</v>
      </c>
      <c r="M8" s="3">
        <v>1.115</v>
      </c>
      <c r="N8">
        <v>10.492000000000001</v>
      </c>
      <c r="O8">
        <v>1.14666</v>
      </c>
    </row>
    <row r="9" spans="1:15" x14ac:dyDescent="0.25">
      <c r="K9">
        <v>10</v>
      </c>
      <c r="L9" s="2">
        <v>3.9754700000000001</v>
      </c>
      <c r="M9" s="3">
        <v>1.11416</v>
      </c>
      <c r="N9">
        <v>11.1228</v>
      </c>
      <c r="O9">
        <v>1.1517500000000001</v>
      </c>
    </row>
    <row r="10" spans="1:15" x14ac:dyDescent="0.25">
      <c r="A10" t="s">
        <v>11</v>
      </c>
      <c r="B10" t="s">
        <v>14</v>
      </c>
      <c r="C10" s="2">
        <v>4.2996499999999997</v>
      </c>
      <c r="K10">
        <v>11</v>
      </c>
      <c r="L10" s="2">
        <v>3.87052</v>
      </c>
      <c r="M10" s="3">
        <v>1.11714</v>
      </c>
      <c r="N10">
        <v>10.6487</v>
      </c>
      <c r="O10">
        <v>1.1498600000000001</v>
      </c>
    </row>
    <row r="11" spans="1:15" x14ac:dyDescent="0.25">
      <c r="B11" t="s">
        <v>14</v>
      </c>
      <c r="D11" s="3">
        <v>1.1013900000000001</v>
      </c>
      <c r="K11">
        <v>12</v>
      </c>
      <c r="L11" s="2">
        <v>3.5033799999999999</v>
      </c>
      <c r="M11" s="3">
        <v>1.12937</v>
      </c>
      <c r="N11">
        <v>9.9546899999999994</v>
      </c>
      <c r="O11">
        <v>1.15333</v>
      </c>
    </row>
    <row r="12" spans="1:15" x14ac:dyDescent="0.25">
      <c r="B12" t="s">
        <v>14</v>
      </c>
      <c r="C12">
        <v>10.608599999999999</v>
      </c>
      <c r="D12">
        <v>1.1368799999999999</v>
      </c>
      <c r="K12">
        <v>13</v>
      </c>
      <c r="L12" s="2">
        <v>3.4954999999999998</v>
      </c>
      <c r="M12" s="3">
        <v>1.13002</v>
      </c>
      <c r="N12">
        <v>10.153700000000001</v>
      </c>
      <c r="O12">
        <v>1.15578</v>
      </c>
    </row>
    <row r="13" spans="1:15" x14ac:dyDescent="0.25">
      <c r="K13">
        <v>14</v>
      </c>
      <c r="L13" s="2">
        <v>3.2913700000000001</v>
      </c>
      <c r="M13" s="3">
        <v>1.13703</v>
      </c>
      <c r="N13">
        <v>9.8583599999999993</v>
      </c>
      <c r="O13">
        <v>1.1589100000000001</v>
      </c>
    </row>
    <row r="14" spans="1:15" x14ac:dyDescent="0.25">
      <c r="A14" t="s">
        <v>11</v>
      </c>
      <c r="B14" t="s">
        <v>15</v>
      </c>
      <c r="C14" s="2">
        <v>4.20303</v>
      </c>
      <c r="K14">
        <v>15</v>
      </c>
      <c r="L14" s="2">
        <v>2.8360699999999999</v>
      </c>
      <c r="M14" s="3">
        <v>1.1522399999999999</v>
      </c>
      <c r="N14">
        <v>8.9156399999999998</v>
      </c>
      <c r="O14">
        <v>1.16309</v>
      </c>
    </row>
    <row r="15" spans="1:15" x14ac:dyDescent="0.25">
      <c r="B15" t="s">
        <v>15</v>
      </c>
      <c r="D15" s="3">
        <v>1.1054999999999999</v>
      </c>
      <c r="L15">
        <f>AVERAGE(L4:L14)</f>
        <v>3.8172445454545452</v>
      </c>
      <c r="M15">
        <f>AVERAGE(M4:M14)</f>
        <v>1.1184054545454545</v>
      </c>
      <c r="O15">
        <f>AVERAGE(O4:O14)</f>
        <v>1.1470636363636364</v>
      </c>
    </row>
    <row r="16" spans="1:15" x14ac:dyDescent="0.25">
      <c r="B16" t="s">
        <v>15</v>
      </c>
      <c r="C16">
        <v>10.9285</v>
      </c>
      <c r="D16">
        <v>1.1432599999999999</v>
      </c>
    </row>
    <row r="18" spans="1:4" x14ac:dyDescent="0.25">
      <c r="A18" t="s">
        <v>11</v>
      </c>
      <c r="B18" t="s">
        <v>16</v>
      </c>
      <c r="C18" s="2">
        <v>3.92109</v>
      </c>
    </row>
    <row r="19" spans="1:4" x14ac:dyDescent="0.25">
      <c r="B19" t="s">
        <v>16</v>
      </c>
      <c r="D19" s="3">
        <v>1.115</v>
      </c>
    </row>
    <row r="20" spans="1:4" x14ac:dyDescent="0.25">
      <c r="B20" t="s">
        <v>16</v>
      </c>
      <c r="C20">
        <v>10.492000000000001</v>
      </c>
      <c r="D20">
        <v>1.14666</v>
      </c>
    </row>
    <row r="22" spans="1:4" x14ac:dyDescent="0.25">
      <c r="A22" t="s">
        <v>11</v>
      </c>
      <c r="B22" t="s">
        <v>5</v>
      </c>
      <c r="C22" s="2">
        <v>3.9754700000000001</v>
      </c>
    </row>
    <row r="23" spans="1:4" x14ac:dyDescent="0.25">
      <c r="B23" t="s">
        <v>5</v>
      </c>
      <c r="D23" s="3">
        <v>1.11416</v>
      </c>
    </row>
    <row r="24" spans="1:4" x14ac:dyDescent="0.25">
      <c r="B24" t="s">
        <v>5</v>
      </c>
      <c r="C24">
        <v>11.1228</v>
      </c>
      <c r="D24">
        <v>1.1517500000000001</v>
      </c>
    </row>
    <row r="26" spans="1:4" x14ac:dyDescent="0.25">
      <c r="A26" t="s">
        <v>11</v>
      </c>
      <c r="B26" t="s">
        <v>6</v>
      </c>
      <c r="C26" s="2">
        <v>3.87052</v>
      </c>
    </row>
    <row r="27" spans="1:4" x14ac:dyDescent="0.25">
      <c r="B27" t="s">
        <v>6</v>
      </c>
      <c r="D27" s="3">
        <v>1.11714</v>
      </c>
    </row>
    <row r="28" spans="1:4" x14ac:dyDescent="0.25">
      <c r="B28" t="s">
        <v>6</v>
      </c>
      <c r="C28">
        <v>10.6487</v>
      </c>
      <c r="D28">
        <v>1.1498600000000001</v>
      </c>
    </row>
    <row r="30" spans="1:4" x14ac:dyDescent="0.25">
      <c r="A30" t="s">
        <v>11</v>
      </c>
      <c r="B30" t="s">
        <v>7</v>
      </c>
      <c r="C30" s="2">
        <v>3.5033799999999999</v>
      </c>
    </row>
    <row r="31" spans="1:4" x14ac:dyDescent="0.25">
      <c r="B31" t="s">
        <v>7</v>
      </c>
      <c r="D31" s="3">
        <v>1.12937</v>
      </c>
    </row>
    <row r="32" spans="1:4" x14ac:dyDescent="0.25">
      <c r="B32" t="s">
        <v>7</v>
      </c>
      <c r="C32">
        <v>9.9546899999999994</v>
      </c>
      <c r="D32">
        <v>1.15333</v>
      </c>
    </row>
    <row r="34" spans="1:4" x14ac:dyDescent="0.25">
      <c r="A34" t="s">
        <v>11</v>
      </c>
      <c r="B34" t="s">
        <v>8</v>
      </c>
      <c r="C34" s="2">
        <v>3.4954999999999998</v>
      </c>
    </row>
    <row r="35" spans="1:4" x14ac:dyDescent="0.25">
      <c r="B35" t="s">
        <v>8</v>
      </c>
      <c r="D35" s="3">
        <v>1.13002</v>
      </c>
    </row>
    <row r="36" spans="1:4" x14ac:dyDescent="0.25">
      <c r="B36" t="s">
        <v>8</v>
      </c>
      <c r="C36">
        <v>10.153700000000001</v>
      </c>
      <c r="D36">
        <v>1.15578</v>
      </c>
    </row>
    <row r="38" spans="1:4" x14ac:dyDescent="0.25">
      <c r="A38" t="s">
        <v>11</v>
      </c>
      <c r="B38" t="s">
        <v>9</v>
      </c>
      <c r="C38" s="2">
        <v>3.2913700000000001</v>
      </c>
    </row>
    <row r="39" spans="1:4" x14ac:dyDescent="0.25">
      <c r="B39" t="s">
        <v>9</v>
      </c>
      <c r="D39" s="3">
        <v>1.13703</v>
      </c>
    </row>
    <row r="40" spans="1:4" x14ac:dyDescent="0.25">
      <c r="B40" t="s">
        <v>9</v>
      </c>
      <c r="C40">
        <v>9.8583599999999993</v>
      </c>
      <c r="D40">
        <v>1.1589100000000001</v>
      </c>
    </row>
    <row r="42" spans="1:4" x14ac:dyDescent="0.25">
      <c r="A42" t="s">
        <v>11</v>
      </c>
      <c r="B42" t="s">
        <v>10</v>
      </c>
      <c r="C42" s="2">
        <v>2.8360699999999999</v>
      </c>
    </row>
    <row r="43" spans="1:4" x14ac:dyDescent="0.25">
      <c r="B43" t="s">
        <v>10</v>
      </c>
      <c r="D43" s="3">
        <v>1.1522399999999999</v>
      </c>
    </row>
    <row r="44" spans="1:4" x14ac:dyDescent="0.25">
      <c r="B44" t="s">
        <v>10</v>
      </c>
      <c r="C44">
        <v>8.9156399999999998</v>
      </c>
      <c r="D44">
        <v>1.16309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9FF5C-0E85-408F-9C91-99EE69C5719E}">
  <dimension ref="A1:B7"/>
  <sheetViews>
    <sheetView workbookViewId="0">
      <selection sqref="A1:B7"/>
    </sheetView>
  </sheetViews>
  <sheetFormatPr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>
        <v>10</v>
      </c>
      <c r="B2">
        <v>8.6481600000000007</v>
      </c>
    </row>
    <row r="3" spans="1:2" x14ac:dyDescent="0.25">
      <c r="A3">
        <v>11</v>
      </c>
      <c r="B3">
        <v>8.6258999999999997</v>
      </c>
    </row>
    <row r="4" spans="1:2" x14ac:dyDescent="0.25">
      <c r="A4">
        <v>12</v>
      </c>
      <c r="B4">
        <v>8.5000199999999992</v>
      </c>
    </row>
    <row r="5" spans="1:2" x14ac:dyDescent="0.25">
      <c r="A5">
        <v>13</v>
      </c>
      <c r="B5">
        <v>8.4016599999999997</v>
      </c>
    </row>
    <row r="6" spans="1:2" x14ac:dyDescent="0.25">
      <c r="A6">
        <v>14</v>
      </c>
      <c r="B6">
        <v>7.9096099999999998</v>
      </c>
    </row>
    <row r="7" spans="1:2" x14ac:dyDescent="0.25">
      <c r="A7">
        <v>15</v>
      </c>
      <c r="B7">
        <v>7.71455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B622-6F8E-4853-9CA1-D09182216886}">
  <dimension ref="A1:B12"/>
  <sheetViews>
    <sheetView workbookViewId="0">
      <selection activeCell="E14" sqref="E14"/>
    </sheetView>
  </sheetViews>
  <sheetFormatPr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>
        <v>5</v>
      </c>
      <c r="B2">
        <v>9.0963999999999992</v>
      </c>
    </row>
    <row r="3" spans="1:2" x14ac:dyDescent="0.25">
      <c r="A3">
        <v>6</v>
      </c>
      <c r="B3">
        <v>9.4676100000000005</v>
      </c>
    </row>
    <row r="4" spans="1:2" x14ac:dyDescent="0.25">
      <c r="A4">
        <v>7</v>
      </c>
      <c r="B4">
        <v>9.3348099999999992</v>
      </c>
    </row>
    <row r="5" spans="1:2" x14ac:dyDescent="0.25">
      <c r="A5">
        <v>8</v>
      </c>
      <c r="B5">
        <v>9.1693099999999994</v>
      </c>
    </row>
    <row r="6" spans="1:2" x14ac:dyDescent="0.25">
      <c r="A6">
        <v>9</v>
      </c>
      <c r="B6">
        <v>8.5894899999999996</v>
      </c>
    </row>
    <row r="7" spans="1:2" x14ac:dyDescent="0.25">
      <c r="A7">
        <v>10</v>
      </c>
      <c r="B7">
        <v>8.7401</v>
      </c>
    </row>
    <row r="8" spans="1:2" x14ac:dyDescent="0.25">
      <c r="A8">
        <v>11</v>
      </c>
      <c r="B8">
        <v>8.5033399999999997</v>
      </c>
    </row>
    <row r="9" spans="1:2" x14ac:dyDescent="0.25">
      <c r="A9">
        <v>12</v>
      </c>
      <c r="B9">
        <v>7.7530099999999997</v>
      </c>
    </row>
    <row r="10" spans="1:2" x14ac:dyDescent="0.25">
      <c r="A10">
        <v>13</v>
      </c>
      <c r="B10">
        <v>7.7522599999999997</v>
      </c>
    </row>
    <row r="11" spans="1:2" x14ac:dyDescent="0.25">
      <c r="A11">
        <v>14</v>
      </c>
      <c r="B11">
        <v>7.3473600000000001</v>
      </c>
    </row>
    <row r="12" spans="1:2" x14ac:dyDescent="0.25">
      <c r="A12">
        <v>15</v>
      </c>
      <c r="B12">
        <v>6.4388899999999998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C6BBC-9977-422B-9E5C-6BE174CD9D1E}">
  <dimension ref="A1:B24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22</v>
      </c>
    </row>
    <row r="3" spans="1:2" x14ac:dyDescent="0.25">
      <c r="A3" t="s">
        <v>0</v>
      </c>
      <c r="B3" t="s">
        <v>3</v>
      </c>
    </row>
    <row r="4" spans="1:2" x14ac:dyDescent="0.25">
      <c r="A4" t="s">
        <v>21</v>
      </c>
      <c r="B4">
        <v>1.10625</v>
      </c>
    </row>
    <row r="5" spans="1:2" x14ac:dyDescent="0.25">
      <c r="A5" t="s">
        <v>4</v>
      </c>
      <c r="B5">
        <v>1.0397233333333333</v>
      </c>
    </row>
    <row r="6" spans="1:2" x14ac:dyDescent="0.25">
      <c r="A6" t="s">
        <v>11</v>
      </c>
      <c r="B6">
        <v>1.1184054545454545</v>
      </c>
    </row>
    <row r="21" spans="1:2" x14ac:dyDescent="0.25">
      <c r="A21" t="s">
        <v>0</v>
      </c>
      <c r="B21" t="s">
        <v>2</v>
      </c>
    </row>
    <row r="22" spans="1:2" x14ac:dyDescent="0.25">
      <c r="A22" t="s">
        <v>21</v>
      </c>
      <c r="B22">
        <v>11.5984</v>
      </c>
    </row>
    <row r="23" spans="1:2" x14ac:dyDescent="0.25">
      <c r="A23" t="s">
        <v>4</v>
      </c>
      <c r="B23">
        <v>6.0469299999999997</v>
      </c>
    </row>
    <row r="24" spans="1:2" x14ac:dyDescent="0.25">
      <c r="A24" t="s">
        <v>11</v>
      </c>
      <c r="B24">
        <v>3.8172445454545452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40K</vt:lpstr>
      <vt:lpstr>50K</vt:lpstr>
      <vt:lpstr>40K_d40</vt:lpstr>
      <vt:lpstr>50K_d50</vt:lpstr>
      <vt:lpstr>Temperature dependance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Mahajan, Ihina</dc:creator>
  <cp:lastModifiedBy>Mahajan, Ihina</cp:lastModifiedBy>
  <dcterms:created xsi:type="dcterms:W3CDTF">2025-09-25T16:19:12Z</dcterms:created>
  <dcterms:modified xsi:type="dcterms:W3CDTF">2025-09-26T17:05:15Z</dcterms:modified>
</cp:coreProperties>
</file>